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13_ncr:1_{D60B9668-247D-4EFC-B66B-B9266A4075D3}" xr6:coauthVersionLast="47" xr6:coauthVersionMax="47" xr10:uidLastSave="{00000000-0000-0000-0000-000000000000}"/>
  <bookViews>
    <workbookView xWindow="-28920" yWindow="-120" windowWidth="29040" windowHeight="15720" xr2:uid="{3DCF5A8D-45A8-43FD-93EA-9C8C9B9C0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6" i="1"/>
  <c r="AE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6" i="1"/>
  <c r="AD5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6" i="1"/>
  <c r="Y5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6" i="1"/>
  <c r="X5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6" i="1"/>
  <c r="AC5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6" i="1"/>
  <c r="AB5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9" i="1"/>
  <c r="AA10" i="1"/>
  <c r="AA8" i="1"/>
  <c r="AA7" i="1"/>
  <c r="AA5" i="1"/>
  <c r="AA6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N7" i="1"/>
  <c r="O7" i="1" s="1"/>
  <c r="N8" i="1"/>
  <c r="O8" i="1" s="1"/>
  <c r="N9" i="1"/>
  <c r="O9" i="1" s="1"/>
  <c r="N10" i="1"/>
  <c r="O10" i="1" s="1"/>
  <c r="N11" i="1"/>
  <c r="O11" i="1" s="1"/>
  <c r="R11" i="1" s="1"/>
  <c r="N12" i="1"/>
  <c r="O12" i="1" s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6" i="1"/>
  <c r="O6" i="1" s="1"/>
  <c r="N5" i="1"/>
  <c r="O5" i="1" s="1"/>
  <c r="R5" i="1" s="1"/>
  <c r="G33" i="1" l="1"/>
  <c r="H33" i="1"/>
  <c r="R12" i="1"/>
  <c r="P12" i="1"/>
  <c r="P8" i="1"/>
  <c r="S8" i="1" s="1"/>
  <c r="R8" i="1"/>
  <c r="P7" i="1"/>
  <c r="S7" i="1" s="1"/>
  <c r="R7" i="1"/>
  <c r="P11" i="1"/>
  <c r="S11" i="1" s="1"/>
  <c r="U11" i="1" s="1"/>
  <c r="V11" i="1" s="1"/>
  <c r="W11" i="1" s="1"/>
  <c r="R10" i="1"/>
  <c r="P10" i="1"/>
  <c r="R9" i="1"/>
  <c r="P9" i="1"/>
  <c r="S9" i="1" s="1"/>
  <c r="R6" i="1"/>
  <c r="P6" i="1"/>
  <c r="P5" i="1"/>
  <c r="S5" i="1" s="1"/>
  <c r="S12" i="1" l="1"/>
  <c r="U12" i="1" s="1"/>
  <c r="V12" i="1" s="1"/>
  <c r="U8" i="1"/>
  <c r="V8" i="1" s="1"/>
  <c r="U7" i="1"/>
  <c r="V7" i="1" s="1"/>
  <c r="U5" i="1"/>
  <c r="V5" i="1" s="1"/>
  <c r="W5" i="1" s="1"/>
  <c r="S10" i="1"/>
  <c r="U10" i="1" s="1"/>
  <c r="V10" i="1" s="1"/>
  <c r="U9" i="1"/>
  <c r="V9" i="1" s="1"/>
  <c r="S6" i="1"/>
  <c r="U6" i="1" s="1"/>
  <c r="V6" i="1" s="1"/>
  <c r="W6" i="1" s="1"/>
  <c r="W12" i="1" l="1"/>
  <c r="W8" i="1"/>
  <c r="W7" i="1"/>
  <c r="W10" i="1"/>
  <c r="W9" i="1"/>
  <c r="I33" i="1" l="1"/>
  <c r="J33" i="1" s="1"/>
</calcChain>
</file>

<file path=xl/sharedStrings.xml><?xml version="1.0" encoding="utf-8"?>
<sst xmlns="http://schemas.openxmlformats.org/spreadsheetml/2006/main" count="45" uniqueCount="40">
  <si>
    <t>PROJECT-CTD-FINANCING-WS</t>
  </si>
  <si>
    <t>CUSIP</t>
  </si>
  <si>
    <t>CF</t>
  </si>
  <si>
    <t>DTD</t>
  </si>
  <si>
    <t>Basket Inputs</t>
  </si>
  <si>
    <t>Cash Outputs</t>
  </si>
  <si>
    <t>PAR</t>
  </si>
  <si>
    <t>CLEAN</t>
  </si>
  <si>
    <t>RATE</t>
  </si>
  <si>
    <t>FREQ</t>
  </si>
  <si>
    <t>REPO</t>
  </si>
  <si>
    <t>SINCE</t>
  </si>
  <si>
    <t>PERIOD</t>
  </si>
  <si>
    <t>PAYMENT</t>
  </si>
  <si>
    <t>AI</t>
  </si>
  <si>
    <t>DIRTY</t>
  </si>
  <si>
    <t>Fin Outputs</t>
  </si>
  <si>
    <t>PROJ AI</t>
  </si>
  <si>
    <t>REP COST</t>
  </si>
  <si>
    <t>FV Outputs</t>
  </si>
  <si>
    <t>GROSS</t>
  </si>
  <si>
    <t>PRICE</t>
  </si>
  <si>
    <t>PRICE*CF</t>
  </si>
  <si>
    <t>NET</t>
  </si>
  <si>
    <t>INVOICE</t>
  </si>
  <si>
    <t>MRKT Outputs</t>
  </si>
  <si>
    <t>Fut Inputs</t>
  </si>
  <si>
    <t>Market</t>
  </si>
  <si>
    <t>Net Basis Outputs</t>
  </si>
  <si>
    <t>Low MRKT</t>
  </si>
  <si>
    <t>Low FV</t>
  </si>
  <si>
    <t>Diff</t>
  </si>
  <si>
    <t>Distort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</si>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</sst>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1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6" borderId="0" xfId="0" applyFont="1" applyFill="1"/>
    <xf numFmtId="0" fontId="0" fillId="7" borderId="2" xfId="0" applyFill="1" applyBorder="1"/>
    <xf numFmtId="0" fontId="0" fillId="8" borderId="2" xfId="0" applyFill="1" applyBorder="1"/>
    <xf numFmtId="0" fontId="0" fillId="3" borderId="6" xfId="0" applyFill="1" applyBorder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49D5-0C25-492E-A975-7CCC286E33AF}">
  <dimension ref="A1:AE33"/>
  <sheetViews>
    <sheetView tabSelected="1" topLeftCell="B1" zoomScale="80" zoomScaleNormal="80" workbookViewId="0">
      <selection activeCell="V33" sqref="V33"/>
    </sheetView>
  </sheetViews>
  <sheetFormatPr defaultRowHeight="15" x14ac:dyDescent="0.25"/>
  <cols>
    <col min="1" max="1" width="29.28515625" customWidth="1"/>
    <col min="2" max="2" width="13.28515625" customWidth="1"/>
    <col min="3" max="3" width="9.5703125" customWidth="1"/>
    <col min="4" max="5" width="10" customWidth="1"/>
    <col min="6" max="7" width="9.85546875" customWidth="1"/>
    <col min="8" max="8" width="9.7109375" customWidth="1"/>
    <col min="13" max="13" width="13.5703125" customWidth="1"/>
    <col min="17" max="17" width="12.28515625" customWidth="1"/>
    <col min="19" max="19" width="9.7109375" customWidth="1"/>
    <col min="20" max="20" width="11.85546875" customWidth="1"/>
    <col min="22" max="22" width="10.140625" customWidth="1"/>
    <col min="26" max="26" width="13.5703125" customWidth="1"/>
    <col min="28" max="28" width="10.42578125" customWidth="1"/>
  </cols>
  <sheetData>
    <row r="1" spans="1:31" ht="27" customHeight="1" x14ac:dyDescent="0.25">
      <c r="A1" s="1" t="s">
        <v>0</v>
      </c>
    </row>
    <row r="2" spans="1:31" ht="15.75" thickBot="1" x14ac:dyDescent="0.3"/>
    <row r="3" spans="1:31" ht="23.25" customHeight="1" thickBot="1" x14ac:dyDescent="0.3">
      <c r="B3" s="3" t="s">
        <v>4</v>
      </c>
      <c r="M3" s="3" t="s">
        <v>5</v>
      </c>
      <c r="Q3" s="3" t="s">
        <v>16</v>
      </c>
      <c r="T3" s="3" t="s">
        <v>19</v>
      </c>
      <c r="Z3" s="3" t="s">
        <v>25</v>
      </c>
    </row>
    <row r="4" spans="1:31" ht="20.25" customHeight="1" x14ac:dyDescent="0.25">
      <c r="C4" s="6" t="s">
        <v>1</v>
      </c>
      <c r="D4" s="6" t="s">
        <v>10</v>
      </c>
      <c r="E4" s="6" t="s">
        <v>2</v>
      </c>
      <c r="F4" s="6" t="s">
        <v>3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11</v>
      </c>
      <c r="L4" s="2" t="s">
        <v>12</v>
      </c>
      <c r="N4" s="6" t="s">
        <v>13</v>
      </c>
      <c r="O4" s="7" t="s">
        <v>14</v>
      </c>
      <c r="P4" s="2" t="s">
        <v>15</v>
      </c>
      <c r="R4" s="6" t="s">
        <v>17</v>
      </c>
      <c r="S4" s="2" t="s">
        <v>18</v>
      </c>
      <c r="U4" s="6" t="s">
        <v>21</v>
      </c>
      <c r="V4" s="7" t="s">
        <v>22</v>
      </c>
      <c r="W4" s="7" t="s">
        <v>24</v>
      </c>
      <c r="X4" s="7" t="s">
        <v>20</v>
      </c>
      <c r="Y4" s="8" t="s">
        <v>23</v>
      </c>
      <c r="AA4" s="6" t="s">
        <v>21</v>
      </c>
      <c r="AB4" s="7" t="s">
        <v>22</v>
      </c>
      <c r="AC4" s="7" t="s">
        <v>24</v>
      </c>
      <c r="AD4" s="2" t="s">
        <v>20</v>
      </c>
      <c r="AE4" s="8" t="s">
        <v>23</v>
      </c>
    </row>
    <row r="5" spans="1:31" ht="15.75" thickBot="1" x14ac:dyDescent="0.3">
      <c r="B5">
        <v>1</v>
      </c>
      <c r="C5" s="4" t="s">
        <v>33</v>
      </c>
      <c r="D5" s="4">
        <v>5.1999999999999998E-2</v>
      </c>
      <c r="E5" s="4">
        <v>0.81200000000000006</v>
      </c>
      <c r="F5" s="4">
        <v>92</v>
      </c>
      <c r="G5" s="4">
        <v>100</v>
      </c>
      <c r="H5" s="4">
        <v>97.85</v>
      </c>
      <c r="I5" s="4">
        <v>0.02</v>
      </c>
      <c r="J5" s="4">
        <v>2</v>
      </c>
      <c r="K5" s="4">
        <v>74</v>
      </c>
      <c r="L5" s="4">
        <v>182</v>
      </c>
      <c r="M5" s="4"/>
      <c r="N5" s="4">
        <f>(I5*G5)/J5</f>
        <v>1</v>
      </c>
      <c r="O5" s="4">
        <f>(K5/L5)*N5</f>
        <v>0.40659340659340659</v>
      </c>
      <c r="P5" s="4">
        <f>H5+O5</f>
        <v>98.256593406593396</v>
      </c>
      <c r="Q5" s="4"/>
      <c r="R5" s="4">
        <f>O5+(F5/L5)*N5</f>
        <v>0.91208791208791207</v>
      </c>
      <c r="S5" s="4">
        <f>P5*D5*(F5/360)</f>
        <v>1.3057209523809521</v>
      </c>
      <c r="T5" s="4"/>
      <c r="U5" s="4">
        <f>(P5+S5-R5)/E5</f>
        <v>121.49042665872713</v>
      </c>
      <c r="V5" s="4">
        <f>U5*E5</f>
        <v>98.650226446886435</v>
      </c>
      <c r="W5" s="4">
        <f>V5+R5</f>
        <v>99.562314358974348</v>
      </c>
      <c r="X5" s="4">
        <f>P5-V5</f>
        <v>-0.39363304029303947</v>
      </c>
      <c r="Y5" s="9">
        <f>P5-W5</f>
        <v>-1.3057209523809519</v>
      </c>
      <c r="Z5" s="4"/>
      <c r="AA5" s="4">
        <f>IF($C33="","",$C33)</f>
        <v>110.75</v>
      </c>
      <c r="AB5" s="4">
        <f>AA5*E5</f>
        <v>89.929000000000002</v>
      </c>
      <c r="AC5" s="4">
        <f>AB5+R5</f>
        <v>90.841087912087914</v>
      </c>
      <c r="AD5" s="4">
        <f>P5-AB5</f>
        <v>8.3275934065933939</v>
      </c>
      <c r="AE5" s="9">
        <f>P5-AC5</f>
        <v>7.4155054945054815</v>
      </c>
    </row>
    <row r="6" spans="1:31" ht="15.75" thickBot="1" x14ac:dyDescent="0.3">
      <c r="B6">
        <v>2</v>
      </c>
      <c r="C6" s="5" t="s">
        <v>34</v>
      </c>
      <c r="D6" s="5">
        <v>4.9000000000000002E-2</v>
      </c>
      <c r="E6" s="5">
        <v>0.84150000000000003</v>
      </c>
      <c r="F6" s="5">
        <v>92</v>
      </c>
      <c r="G6" s="5">
        <v>100</v>
      </c>
      <c r="H6" s="5">
        <v>98.55</v>
      </c>
      <c r="I6" s="5">
        <v>2.5000000000000001E-2</v>
      </c>
      <c r="J6" s="5">
        <v>2</v>
      </c>
      <c r="K6" s="5">
        <v>81</v>
      </c>
      <c r="L6" s="5">
        <v>182</v>
      </c>
      <c r="M6" s="5"/>
      <c r="N6" s="5">
        <f>(I6*G6)/J6</f>
        <v>1.25</v>
      </c>
      <c r="O6" s="5">
        <f>(K6/L6)*N6</f>
        <v>0.55631868131868134</v>
      </c>
      <c r="P6" s="5">
        <f>H6+O6</f>
        <v>99.106318681318683</v>
      </c>
      <c r="Q6" s="5"/>
      <c r="R6" s="5">
        <f>O6+(F6/L6)*N6</f>
        <v>1.1881868131868132</v>
      </c>
      <c r="S6" s="5">
        <f>P6*D6*(F6/360)</f>
        <v>1.2410313461538462</v>
      </c>
      <c r="T6" s="5"/>
      <c r="U6" s="5">
        <f>(P6+S6-R6)/E6</f>
        <v>117.83620108649519</v>
      </c>
      <c r="V6" s="5">
        <f>U6*E6</f>
        <v>99.159163214285712</v>
      </c>
      <c r="W6" s="5">
        <f>V6+R6</f>
        <v>100.34735002747253</v>
      </c>
      <c r="X6" s="5">
        <f>P6-V6</f>
        <v>-5.2844532967029068E-2</v>
      </c>
      <c r="Y6" s="10">
        <f>P6-W6</f>
        <v>-1.2410313461538465</v>
      </c>
      <c r="Z6" s="5"/>
      <c r="AA6" s="5">
        <f>IF($C33="","",$C33)</f>
        <v>110.75</v>
      </c>
      <c r="AB6" s="5">
        <f>AA6*E6</f>
        <v>93.196125000000009</v>
      </c>
      <c r="AC6" s="5">
        <f>AB6+R6</f>
        <v>94.384311813186827</v>
      </c>
      <c r="AD6" s="5">
        <f>P6-AB6</f>
        <v>5.910193681318674</v>
      </c>
      <c r="AE6" s="10">
        <f>P6-AC6</f>
        <v>4.7220068681318565</v>
      </c>
    </row>
    <row r="7" spans="1:31" ht="15.75" thickBot="1" x14ac:dyDescent="0.3">
      <c r="B7">
        <v>3</v>
      </c>
      <c r="C7" s="4" t="s">
        <v>35</v>
      </c>
      <c r="D7" s="4">
        <v>1.7500000000000002E-2</v>
      </c>
      <c r="E7" s="4">
        <v>0.86799999999999999</v>
      </c>
      <c r="F7" s="4">
        <v>92</v>
      </c>
      <c r="G7" s="4">
        <v>100</v>
      </c>
      <c r="H7" s="4">
        <v>99.1</v>
      </c>
      <c r="I7" s="4">
        <v>0.03</v>
      </c>
      <c r="J7" s="4">
        <v>2</v>
      </c>
      <c r="K7" s="4">
        <v>63</v>
      </c>
      <c r="L7" s="4">
        <v>182</v>
      </c>
      <c r="M7" s="4"/>
      <c r="N7" s="4">
        <f t="shared" ref="N7:N29" si="0">(I7*G7)/J7</f>
        <v>1.5</v>
      </c>
      <c r="O7" s="4">
        <f t="shared" ref="O7:O29" si="1">(K7/L7)*N7</f>
        <v>0.51923076923076916</v>
      </c>
      <c r="P7" s="4">
        <f t="shared" ref="P7:P29" si="2">H7+O7</f>
        <v>99.619230769230768</v>
      </c>
      <c r="Q7" s="4"/>
      <c r="R7" s="4">
        <f t="shared" ref="R7:R29" si="3">O7+(F7/L7)*N7</f>
        <v>1.2774725274725274</v>
      </c>
      <c r="S7" s="4">
        <f t="shared" ref="S7:S29" si="4">P7*D7*(F7/360)</f>
        <v>0.44551933760683765</v>
      </c>
      <c r="T7" s="4"/>
      <c r="U7" s="4">
        <f t="shared" ref="U7:U29" si="5">(P7+S7-R7)/E7</f>
        <v>113.81022762599663</v>
      </c>
      <c r="V7" s="4">
        <f t="shared" ref="V7:V29" si="6">U7*E7</f>
        <v>98.787277579365082</v>
      </c>
      <c r="W7" s="4">
        <f t="shared" ref="W7:W29" si="7">V7+R7</f>
        <v>100.06475010683761</v>
      </c>
      <c r="X7" s="4">
        <f t="shared" ref="X7:X29" si="8">P7-V7</f>
        <v>0.83195318986568623</v>
      </c>
      <c r="Y7" s="9">
        <f t="shared" ref="Y7:Y29" si="9">P7-W7</f>
        <v>-0.44551933760683937</v>
      </c>
      <c r="Z7" s="4"/>
      <c r="AA7" s="4">
        <f>IF($C33="","",$C33)</f>
        <v>110.75</v>
      </c>
      <c r="AB7" s="4">
        <f t="shared" ref="AB7:AB29" si="10">AA7*E7</f>
        <v>96.131</v>
      </c>
      <c r="AC7" s="4">
        <f t="shared" ref="AC7:AC29" si="11">AB7+R7</f>
        <v>97.408472527472526</v>
      </c>
      <c r="AD7" s="4">
        <f t="shared" ref="AD7:AD29" si="12">P7-AB7</f>
        <v>3.4882307692307677</v>
      </c>
      <c r="AE7" s="9">
        <f t="shared" ref="AE7:AE29" si="13">P7-AC7</f>
        <v>2.2107582417582421</v>
      </c>
    </row>
    <row r="8" spans="1:31" ht="15.75" thickBot="1" x14ac:dyDescent="0.3">
      <c r="B8">
        <v>4</v>
      </c>
      <c r="C8" s="5" t="s">
        <v>36</v>
      </c>
      <c r="D8" s="5">
        <v>4.5999999999999999E-2</v>
      </c>
      <c r="E8" s="5">
        <v>0.89700000000000002</v>
      </c>
      <c r="F8" s="5">
        <v>92</v>
      </c>
      <c r="G8" s="5">
        <v>100</v>
      </c>
      <c r="H8" s="5">
        <v>99.95</v>
      </c>
      <c r="I8" s="5">
        <v>3.5000000000000003E-2</v>
      </c>
      <c r="J8" s="5">
        <v>2</v>
      </c>
      <c r="K8" s="5">
        <v>89</v>
      </c>
      <c r="L8" s="5">
        <v>182</v>
      </c>
      <c r="M8" s="5"/>
      <c r="N8" s="5">
        <f t="shared" si="0"/>
        <v>1.7500000000000002</v>
      </c>
      <c r="O8" s="5">
        <f t="shared" si="1"/>
        <v>0.85576923076923084</v>
      </c>
      <c r="P8" s="5">
        <f t="shared" si="2"/>
        <v>100.80576923076923</v>
      </c>
      <c r="Q8" s="5"/>
      <c r="R8" s="5">
        <f t="shared" si="3"/>
        <v>1.7403846153846154</v>
      </c>
      <c r="S8" s="5">
        <f t="shared" si="4"/>
        <v>1.1850278205128204</v>
      </c>
      <c r="T8" s="5"/>
      <c r="U8" s="5">
        <f t="shared" si="5"/>
        <v>111.76188677357572</v>
      </c>
      <c r="V8" s="5">
        <f t="shared" si="6"/>
        <v>100.25041243589743</v>
      </c>
      <c r="W8" s="5">
        <f t="shared" si="7"/>
        <v>101.99079705128204</v>
      </c>
      <c r="X8" s="5">
        <f t="shared" si="8"/>
        <v>0.55535679487179834</v>
      </c>
      <c r="Y8" s="10">
        <f t="shared" si="9"/>
        <v>-1.1850278205128149</v>
      </c>
      <c r="Z8" s="5"/>
      <c r="AA8" s="5">
        <f>IF($C33="","",$C33)</f>
        <v>110.75</v>
      </c>
      <c r="AB8" s="5">
        <f t="shared" si="10"/>
        <v>99.342749999999995</v>
      </c>
      <c r="AC8" s="5">
        <f t="shared" si="11"/>
        <v>101.08313461538461</v>
      </c>
      <c r="AD8" s="5">
        <f t="shared" si="12"/>
        <v>1.463019230769234</v>
      </c>
      <c r="AE8" s="10">
        <f t="shared" si="13"/>
        <v>-0.27736538461537918</v>
      </c>
    </row>
    <row r="9" spans="1:31" ht="15.75" thickBot="1" x14ac:dyDescent="0.3">
      <c r="B9">
        <v>5</v>
      </c>
      <c r="C9" s="4" t="s">
        <v>37</v>
      </c>
      <c r="D9" s="4">
        <v>4.3999999999999997E-2</v>
      </c>
      <c r="E9" s="4">
        <v>0.92400000000000004</v>
      </c>
      <c r="F9" s="4">
        <v>92</v>
      </c>
      <c r="G9" s="4">
        <v>100</v>
      </c>
      <c r="H9" s="4">
        <v>100.85</v>
      </c>
      <c r="I9" s="4">
        <v>0.04</v>
      </c>
      <c r="J9" s="4">
        <v>2</v>
      </c>
      <c r="K9" s="4">
        <v>71</v>
      </c>
      <c r="L9" s="4">
        <v>182</v>
      </c>
      <c r="M9" s="4"/>
      <c r="N9" s="4">
        <f t="shared" si="0"/>
        <v>2</v>
      </c>
      <c r="O9" s="4">
        <f t="shared" si="1"/>
        <v>0.78021978021978022</v>
      </c>
      <c r="P9" s="4">
        <f t="shared" si="2"/>
        <v>101.63021978021978</v>
      </c>
      <c r="Q9" s="4"/>
      <c r="R9" s="4">
        <f t="shared" si="3"/>
        <v>1.7912087912087911</v>
      </c>
      <c r="S9" s="4">
        <f t="shared" si="4"/>
        <v>1.1427753601953601</v>
      </c>
      <c r="T9" s="4"/>
      <c r="U9" s="4">
        <f t="shared" si="5"/>
        <v>109.28764756407612</v>
      </c>
      <c r="V9" s="4">
        <f t="shared" si="6"/>
        <v>100.98178634920635</v>
      </c>
      <c r="W9" s="4">
        <f t="shared" si="7"/>
        <v>102.77299514041513</v>
      </c>
      <c r="X9" s="4">
        <f t="shared" si="8"/>
        <v>0.64843343101343009</v>
      </c>
      <c r="Y9" s="9">
        <f t="shared" si="9"/>
        <v>-1.1427753601953583</v>
      </c>
      <c r="Z9" s="4"/>
      <c r="AA9" s="4">
        <f>IF($C33="","",$C33)</f>
        <v>110.75</v>
      </c>
      <c r="AB9" s="4">
        <f t="shared" si="10"/>
        <v>102.333</v>
      </c>
      <c r="AC9" s="4">
        <f t="shared" si="11"/>
        <v>104.12420879120879</v>
      </c>
      <c r="AD9" s="4">
        <f t="shared" si="12"/>
        <v>-0.70278021978022309</v>
      </c>
      <c r="AE9" s="9">
        <f t="shared" si="13"/>
        <v>-2.4939890109890115</v>
      </c>
    </row>
    <row r="10" spans="1:31" ht="15.75" thickBot="1" x14ac:dyDescent="0.3">
      <c r="B10">
        <v>6</v>
      </c>
      <c r="C10" s="5" t="s">
        <v>38</v>
      </c>
      <c r="D10" s="5">
        <v>4.2500000000000003E-2</v>
      </c>
      <c r="E10" s="5">
        <v>0.95499999999999996</v>
      </c>
      <c r="F10" s="5">
        <v>92</v>
      </c>
      <c r="G10" s="5">
        <v>100</v>
      </c>
      <c r="H10" s="5">
        <v>101.9</v>
      </c>
      <c r="I10" s="5">
        <v>4.4999999999999998E-2</v>
      </c>
      <c r="J10" s="5">
        <v>2</v>
      </c>
      <c r="K10" s="5">
        <v>95</v>
      </c>
      <c r="L10" s="5">
        <v>182</v>
      </c>
      <c r="M10" s="5"/>
      <c r="N10" s="5">
        <f t="shared" si="0"/>
        <v>2.25</v>
      </c>
      <c r="O10" s="5">
        <f t="shared" si="1"/>
        <v>1.1744505494505495</v>
      </c>
      <c r="P10" s="5">
        <f t="shared" si="2"/>
        <v>103.07445054945056</v>
      </c>
      <c r="Q10" s="5"/>
      <c r="R10" s="5">
        <f t="shared" si="3"/>
        <v>2.311813186813187</v>
      </c>
      <c r="S10" s="5">
        <f t="shared" si="4"/>
        <v>1.1195030601343103</v>
      </c>
      <c r="T10" s="5"/>
      <c r="U10" s="5">
        <f t="shared" si="5"/>
        <v>106.68286955264051</v>
      </c>
      <c r="V10" s="5">
        <f t="shared" si="6"/>
        <v>101.88214042277168</v>
      </c>
      <c r="W10" s="5">
        <f t="shared" si="7"/>
        <v>104.19395360958487</v>
      </c>
      <c r="X10" s="5">
        <f t="shared" si="8"/>
        <v>1.1923101266788763</v>
      </c>
      <c r="Y10" s="10">
        <f t="shared" si="9"/>
        <v>-1.1195030601343063</v>
      </c>
      <c r="Z10" s="5"/>
      <c r="AA10" s="5">
        <f>IF($C33="","",$C33)</f>
        <v>110.75</v>
      </c>
      <c r="AB10" s="5">
        <f t="shared" si="10"/>
        <v>105.76625</v>
      </c>
      <c r="AC10" s="5">
        <f t="shared" si="11"/>
        <v>108.07806318681318</v>
      </c>
      <c r="AD10" s="5">
        <f t="shared" si="12"/>
        <v>-2.6917994505494391</v>
      </c>
      <c r="AE10" s="10">
        <f t="shared" si="13"/>
        <v>-5.0036126373626217</v>
      </c>
    </row>
    <row r="11" spans="1:31" ht="15.75" thickBot="1" x14ac:dyDescent="0.3">
      <c r="B11">
        <v>7</v>
      </c>
      <c r="C11" s="4" t="s">
        <v>39</v>
      </c>
      <c r="D11" s="4">
        <v>4.1000000000000002E-2</v>
      </c>
      <c r="E11" s="4">
        <v>0.98899999999999999</v>
      </c>
      <c r="F11" s="4">
        <v>92</v>
      </c>
      <c r="G11" s="4">
        <v>100</v>
      </c>
      <c r="H11" s="4">
        <v>103.1</v>
      </c>
      <c r="I11" s="4">
        <v>0.05</v>
      </c>
      <c r="J11" s="4">
        <v>2</v>
      </c>
      <c r="K11" s="4">
        <v>67</v>
      </c>
      <c r="L11" s="4">
        <v>182</v>
      </c>
      <c r="M11" s="4"/>
      <c r="N11" s="4">
        <f t="shared" si="0"/>
        <v>2.5</v>
      </c>
      <c r="O11" s="4">
        <f t="shared" si="1"/>
        <v>0.92032967032967039</v>
      </c>
      <c r="P11" s="4">
        <f t="shared" si="2"/>
        <v>104.02032967032966</v>
      </c>
      <c r="Q11" s="4"/>
      <c r="R11" s="4">
        <f t="shared" si="3"/>
        <v>2.1840659340659343</v>
      </c>
      <c r="S11" s="4">
        <f t="shared" si="4"/>
        <v>1.0899018986568985</v>
      </c>
      <c r="T11" s="4"/>
      <c r="U11" s="4">
        <f t="shared" si="5"/>
        <v>104.07094604137578</v>
      </c>
      <c r="V11" s="4">
        <f t="shared" si="6"/>
        <v>102.92616563492064</v>
      </c>
      <c r="W11" s="4">
        <f t="shared" si="7"/>
        <v>105.11023156898656</v>
      </c>
      <c r="X11" s="4">
        <f t="shared" si="8"/>
        <v>1.0941640354090225</v>
      </c>
      <c r="Y11" s="9">
        <f t="shared" si="9"/>
        <v>-1.0899018986569047</v>
      </c>
      <c r="Z11" s="4"/>
      <c r="AA11" s="4">
        <f>IF($C33="","",$C33)</f>
        <v>110.75</v>
      </c>
      <c r="AB11" s="4">
        <f t="shared" si="10"/>
        <v>109.53175</v>
      </c>
      <c r="AC11" s="4">
        <f t="shared" si="11"/>
        <v>111.71581593406594</v>
      </c>
      <c r="AD11" s="4">
        <f t="shared" si="12"/>
        <v>-5.5114203296703437</v>
      </c>
      <c r="AE11" s="9">
        <f t="shared" si="13"/>
        <v>-7.6954862637362851</v>
      </c>
    </row>
    <row r="12" spans="1:31" ht="15.75" thickBot="1" x14ac:dyDescent="0.3">
      <c r="B12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 t="e">
        <f t="shared" si="0"/>
        <v>#DIV/0!</v>
      </c>
      <c r="O12" s="5" t="e">
        <f t="shared" si="1"/>
        <v>#DIV/0!</v>
      </c>
      <c r="P12" s="5" t="e">
        <f t="shared" si="2"/>
        <v>#DIV/0!</v>
      </c>
      <c r="Q12" s="5"/>
      <c r="R12" s="5" t="e">
        <f t="shared" si="3"/>
        <v>#DIV/0!</v>
      </c>
      <c r="S12" s="5" t="e">
        <f t="shared" si="4"/>
        <v>#DIV/0!</v>
      </c>
      <c r="T12" s="5"/>
      <c r="U12" s="5" t="e">
        <f t="shared" si="5"/>
        <v>#DIV/0!</v>
      </c>
      <c r="V12" s="5" t="e">
        <f t="shared" si="6"/>
        <v>#DIV/0!</v>
      </c>
      <c r="W12" s="5" t="e">
        <f t="shared" si="7"/>
        <v>#DIV/0!</v>
      </c>
      <c r="X12" s="5" t="e">
        <f t="shared" si="8"/>
        <v>#DIV/0!</v>
      </c>
      <c r="Y12" s="10" t="e">
        <f t="shared" si="9"/>
        <v>#DIV/0!</v>
      </c>
      <c r="Z12" s="5"/>
      <c r="AA12" s="5">
        <f>IF($C33="","",$C33)</f>
        <v>110.75</v>
      </c>
      <c r="AB12" s="5">
        <f t="shared" si="10"/>
        <v>0</v>
      </c>
      <c r="AC12" s="5" t="e">
        <f t="shared" si="11"/>
        <v>#DIV/0!</v>
      </c>
      <c r="AD12" s="5" t="e">
        <f t="shared" si="12"/>
        <v>#DIV/0!</v>
      </c>
      <c r="AE12" s="10" t="e">
        <f t="shared" si="13"/>
        <v>#DIV/0!</v>
      </c>
    </row>
    <row r="13" spans="1:31" ht="15.75" thickBot="1" x14ac:dyDescent="0.3">
      <c r="B13">
        <v>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e">
        <f t="shared" si="0"/>
        <v>#DIV/0!</v>
      </c>
      <c r="O13" s="4" t="e">
        <f t="shared" si="1"/>
        <v>#DIV/0!</v>
      </c>
      <c r="P13" s="4" t="e">
        <f t="shared" si="2"/>
        <v>#DIV/0!</v>
      </c>
      <c r="Q13" s="4"/>
      <c r="R13" s="4" t="e">
        <f t="shared" si="3"/>
        <v>#DIV/0!</v>
      </c>
      <c r="S13" s="4" t="e">
        <f t="shared" si="4"/>
        <v>#DIV/0!</v>
      </c>
      <c r="T13" s="4"/>
      <c r="U13" s="4" t="e">
        <f t="shared" si="5"/>
        <v>#DIV/0!</v>
      </c>
      <c r="V13" s="4" t="e">
        <f t="shared" si="6"/>
        <v>#DIV/0!</v>
      </c>
      <c r="W13" s="4" t="e">
        <f t="shared" si="7"/>
        <v>#DIV/0!</v>
      </c>
      <c r="X13" s="4" t="e">
        <f t="shared" si="8"/>
        <v>#DIV/0!</v>
      </c>
      <c r="Y13" s="9" t="e">
        <f t="shared" si="9"/>
        <v>#DIV/0!</v>
      </c>
      <c r="Z13" s="4"/>
      <c r="AA13" s="4">
        <f>IF($C33="","",$C33)</f>
        <v>110.75</v>
      </c>
      <c r="AB13" s="4">
        <f t="shared" si="10"/>
        <v>0</v>
      </c>
      <c r="AC13" s="4" t="e">
        <f t="shared" si="11"/>
        <v>#DIV/0!</v>
      </c>
      <c r="AD13" s="4" t="e">
        <f t="shared" si="12"/>
        <v>#DIV/0!</v>
      </c>
      <c r="AE13" s="9" t="e">
        <f t="shared" si="13"/>
        <v>#DIV/0!</v>
      </c>
    </row>
    <row r="14" spans="1:31" ht="15.75" thickBot="1" x14ac:dyDescent="0.3">
      <c r="B14">
        <v>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 t="e">
        <f t="shared" si="0"/>
        <v>#DIV/0!</v>
      </c>
      <c r="O14" s="5" t="e">
        <f t="shared" si="1"/>
        <v>#DIV/0!</v>
      </c>
      <c r="P14" s="5" t="e">
        <f t="shared" si="2"/>
        <v>#DIV/0!</v>
      </c>
      <c r="Q14" s="5"/>
      <c r="R14" s="5" t="e">
        <f t="shared" si="3"/>
        <v>#DIV/0!</v>
      </c>
      <c r="S14" s="5" t="e">
        <f t="shared" si="4"/>
        <v>#DIV/0!</v>
      </c>
      <c r="T14" s="5"/>
      <c r="U14" s="5" t="e">
        <f t="shared" si="5"/>
        <v>#DIV/0!</v>
      </c>
      <c r="V14" s="5" t="e">
        <f t="shared" si="6"/>
        <v>#DIV/0!</v>
      </c>
      <c r="W14" s="5" t="e">
        <f t="shared" si="7"/>
        <v>#DIV/0!</v>
      </c>
      <c r="X14" s="5" t="e">
        <f t="shared" si="8"/>
        <v>#DIV/0!</v>
      </c>
      <c r="Y14" s="10" t="e">
        <f t="shared" si="9"/>
        <v>#DIV/0!</v>
      </c>
      <c r="Z14" s="5"/>
      <c r="AA14" s="5">
        <f>IF($C33="","",$C33)</f>
        <v>110.75</v>
      </c>
      <c r="AB14" s="5">
        <f t="shared" si="10"/>
        <v>0</v>
      </c>
      <c r="AC14" s="5" t="e">
        <f t="shared" si="11"/>
        <v>#DIV/0!</v>
      </c>
      <c r="AD14" s="5" t="e">
        <f t="shared" si="12"/>
        <v>#DIV/0!</v>
      </c>
      <c r="AE14" s="10" t="e">
        <f t="shared" si="13"/>
        <v>#DIV/0!</v>
      </c>
    </row>
    <row r="15" spans="1:31" ht="15.75" thickBot="1" x14ac:dyDescent="0.3">
      <c r="B15">
        <v>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e">
        <f t="shared" si="0"/>
        <v>#DIV/0!</v>
      </c>
      <c r="O15" s="4" t="e">
        <f t="shared" si="1"/>
        <v>#DIV/0!</v>
      </c>
      <c r="P15" s="4" t="e">
        <f t="shared" si="2"/>
        <v>#DIV/0!</v>
      </c>
      <c r="Q15" s="4"/>
      <c r="R15" s="4" t="e">
        <f t="shared" si="3"/>
        <v>#DIV/0!</v>
      </c>
      <c r="S15" s="4" t="e">
        <f t="shared" si="4"/>
        <v>#DIV/0!</v>
      </c>
      <c r="T15" s="4"/>
      <c r="U15" s="4" t="e">
        <f t="shared" si="5"/>
        <v>#DIV/0!</v>
      </c>
      <c r="V15" s="4" t="e">
        <f t="shared" si="6"/>
        <v>#DIV/0!</v>
      </c>
      <c r="W15" s="4" t="e">
        <f t="shared" si="7"/>
        <v>#DIV/0!</v>
      </c>
      <c r="X15" s="4" t="e">
        <f t="shared" si="8"/>
        <v>#DIV/0!</v>
      </c>
      <c r="Y15" s="9" t="e">
        <f t="shared" si="9"/>
        <v>#DIV/0!</v>
      </c>
      <c r="Z15" s="4"/>
      <c r="AA15" s="4">
        <f>IF($C33="","",$C33)</f>
        <v>110.75</v>
      </c>
      <c r="AB15" s="4">
        <f t="shared" si="10"/>
        <v>0</v>
      </c>
      <c r="AC15" s="4" t="e">
        <f t="shared" si="11"/>
        <v>#DIV/0!</v>
      </c>
      <c r="AD15" s="4" t="e">
        <f t="shared" si="12"/>
        <v>#DIV/0!</v>
      </c>
      <c r="AE15" s="9" t="e">
        <f t="shared" si="13"/>
        <v>#DIV/0!</v>
      </c>
    </row>
    <row r="16" spans="1:31" ht="15.75" thickBot="1" x14ac:dyDescent="0.3">
      <c r="B16">
        <v>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 t="e">
        <f t="shared" si="0"/>
        <v>#DIV/0!</v>
      </c>
      <c r="O16" s="5" t="e">
        <f t="shared" si="1"/>
        <v>#DIV/0!</v>
      </c>
      <c r="P16" s="5" t="e">
        <f t="shared" si="2"/>
        <v>#DIV/0!</v>
      </c>
      <c r="Q16" s="5"/>
      <c r="R16" s="5" t="e">
        <f t="shared" si="3"/>
        <v>#DIV/0!</v>
      </c>
      <c r="S16" s="5" t="e">
        <f t="shared" si="4"/>
        <v>#DIV/0!</v>
      </c>
      <c r="T16" s="5"/>
      <c r="U16" s="5" t="e">
        <f t="shared" si="5"/>
        <v>#DIV/0!</v>
      </c>
      <c r="V16" s="5" t="e">
        <f t="shared" si="6"/>
        <v>#DIV/0!</v>
      </c>
      <c r="W16" s="5" t="e">
        <f t="shared" si="7"/>
        <v>#DIV/0!</v>
      </c>
      <c r="X16" s="5" t="e">
        <f t="shared" si="8"/>
        <v>#DIV/0!</v>
      </c>
      <c r="Y16" s="10" t="e">
        <f t="shared" si="9"/>
        <v>#DIV/0!</v>
      </c>
      <c r="Z16" s="5"/>
      <c r="AA16" s="5">
        <f>IF($C33="","",$C33)</f>
        <v>110.75</v>
      </c>
      <c r="AB16" s="5">
        <f t="shared" si="10"/>
        <v>0</v>
      </c>
      <c r="AC16" s="5" t="e">
        <f t="shared" si="11"/>
        <v>#DIV/0!</v>
      </c>
      <c r="AD16" s="5" t="e">
        <f t="shared" si="12"/>
        <v>#DIV/0!</v>
      </c>
      <c r="AE16" s="10" t="e">
        <f t="shared" si="13"/>
        <v>#DIV/0!</v>
      </c>
    </row>
    <row r="17" spans="2:31" ht="15.75" thickBot="1" x14ac:dyDescent="0.3">
      <c r="B17">
        <v>13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e">
        <f t="shared" si="0"/>
        <v>#DIV/0!</v>
      </c>
      <c r="O17" s="4" t="e">
        <f t="shared" si="1"/>
        <v>#DIV/0!</v>
      </c>
      <c r="P17" s="4" t="e">
        <f t="shared" si="2"/>
        <v>#DIV/0!</v>
      </c>
      <c r="Q17" s="4"/>
      <c r="R17" s="4" t="e">
        <f t="shared" si="3"/>
        <v>#DIV/0!</v>
      </c>
      <c r="S17" s="4" t="e">
        <f t="shared" si="4"/>
        <v>#DIV/0!</v>
      </c>
      <c r="T17" s="4"/>
      <c r="U17" s="4" t="e">
        <f t="shared" si="5"/>
        <v>#DIV/0!</v>
      </c>
      <c r="V17" s="4" t="e">
        <f t="shared" si="6"/>
        <v>#DIV/0!</v>
      </c>
      <c r="W17" s="4" t="e">
        <f t="shared" si="7"/>
        <v>#DIV/0!</v>
      </c>
      <c r="X17" s="4" t="e">
        <f t="shared" si="8"/>
        <v>#DIV/0!</v>
      </c>
      <c r="Y17" s="9" t="e">
        <f t="shared" si="9"/>
        <v>#DIV/0!</v>
      </c>
      <c r="Z17" s="4"/>
      <c r="AA17" s="4">
        <f>IF($C33="","",$C33)</f>
        <v>110.75</v>
      </c>
      <c r="AB17" s="4">
        <f t="shared" si="10"/>
        <v>0</v>
      </c>
      <c r="AC17" s="4" t="e">
        <f t="shared" si="11"/>
        <v>#DIV/0!</v>
      </c>
      <c r="AD17" s="4" t="e">
        <f t="shared" si="12"/>
        <v>#DIV/0!</v>
      </c>
      <c r="AE17" s="9" t="e">
        <f t="shared" si="13"/>
        <v>#DIV/0!</v>
      </c>
    </row>
    <row r="18" spans="2:31" ht="15.75" thickBot="1" x14ac:dyDescent="0.3">
      <c r="B18">
        <v>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 t="e">
        <f t="shared" si="0"/>
        <v>#DIV/0!</v>
      </c>
      <c r="O18" s="5" t="e">
        <f t="shared" si="1"/>
        <v>#DIV/0!</v>
      </c>
      <c r="P18" s="5" t="e">
        <f t="shared" si="2"/>
        <v>#DIV/0!</v>
      </c>
      <c r="Q18" s="5"/>
      <c r="R18" s="5" t="e">
        <f t="shared" si="3"/>
        <v>#DIV/0!</v>
      </c>
      <c r="S18" s="5" t="e">
        <f t="shared" si="4"/>
        <v>#DIV/0!</v>
      </c>
      <c r="T18" s="5"/>
      <c r="U18" s="5" t="e">
        <f t="shared" si="5"/>
        <v>#DIV/0!</v>
      </c>
      <c r="V18" s="5" t="e">
        <f t="shared" si="6"/>
        <v>#DIV/0!</v>
      </c>
      <c r="W18" s="5" t="e">
        <f t="shared" si="7"/>
        <v>#DIV/0!</v>
      </c>
      <c r="X18" s="5" t="e">
        <f t="shared" si="8"/>
        <v>#DIV/0!</v>
      </c>
      <c r="Y18" s="10" t="e">
        <f t="shared" si="9"/>
        <v>#DIV/0!</v>
      </c>
      <c r="Z18" s="5"/>
      <c r="AA18" s="5">
        <f>IF($C33="","",$C33)</f>
        <v>110.75</v>
      </c>
      <c r="AB18" s="5">
        <f t="shared" si="10"/>
        <v>0</v>
      </c>
      <c r="AC18" s="5" t="e">
        <f t="shared" si="11"/>
        <v>#DIV/0!</v>
      </c>
      <c r="AD18" s="5" t="e">
        <f t="shared" si="12"/>
        <v>#DIV/0!</v>
      </c>
      <c r="AE18" s="10" t="e">
        <f t="shared" si="13"/>
        <v>#DIV/0!</v>
      </c>
    </row>
    <row r="19" spans="2:31" ht="15.75" thickBot="1" x14ac:dyDescent="0.3">
      <c r="B19">
        <v>15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e">
        <f t="shared" si="0"/>
        <v>#DIV/0!</v>
      </c>
      <c r="O19" s="4" t="e">
        <f t="shared" si="1"/>
        <v>#DIV/0!</v>
      </c>
      <c r="P19" s="4" t="e">
        <f t="shared" si="2"/>
        <v>#DIV/0!</v>
      </c>
      <c r="Q19" s="4"/>
      <c r="R19" s="4" t="e">
        <f t="shared" si="3"/>
        <v>#DIV/0!</v>
      </c>
      <c r="S19" s="4" t="e">
        <f t="shared" si="4"/>
        <v>#DIV/0!</v>
      </c>
      <c r="T19" s="4"/>
      <c r="U19" s="4" t="e">
        <f t="shared" si="5"/>
        <v>#DIV/0!</v>
      </c>
      <c r="V19" s="4" t="e">
        <f t="shared" si="6"/>
        <v>#DIV/0!</v>
      </c>
      <c r="W19" s="4" t="e">
        <f t="shared" si="7"/>
        <v>#DIV/0!</v>
      </c>
      <c r="X19" s="4" t="e">
        <f t="shared" si="8"/>
        <v>#DIV/0!</v>
      </c>
      <c r="Y19" s="9" t="e">
        <f t="shared" si="9"/>
        <v>#DIV/0!</v>
      </c>
      <c r="Z19" s="4"/>
      <c r="AA19" s="4">
        <f>IF($C33="","",$C33)</f>
        <v>110.75</v>
      </c>
      <c r="AB19" s="4">
        <f t="shared" si="10"/>
        <v>0</v>
      </c>
      <c r="AC19" s="4" t="e">
        <f t="shared" si="11"/>
        <v>#DIV/0!</v>
      </c>
      <c r="AD19" s="4" t="e">
        <f t="shared" si="12"/>
        <v>#DIV/0!</v>
      </c>
      <c r="AE19" s="9" t="e">
        <f t="shared" si="13"/>
        <v>#DIV/0!</v>
      </c>
    </row>
    <row r="20" spans="2:31" ht="15.75" thickBot="1" x14ac:dyDescent="0.3">
      <c r="B20">
        <v>16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 t="e">
        <f t="shared" si="0"/>
        <v>#DIV/0!</v>
      </c>
      <c r="O20" s="5" t="e">
        <f t="shared" si="1"/>
        <v>#DIV/0!</v>
      </c>
      <c r="P20" s="5" t="e">
        <f t="shared" si="2"/>
        <v>#DIV/0!</v>
      </c>
      <c r="Q20" s="5"/>
      <c r="R20" s="5" t="e">
        <f t="shared" si="3"/>
        <v>#DIV/0!</v>
      </c>
      <c r="S20" s="5" t="e">
        <f t="shared" si="4"/>
        <v>#DIV/0!</v>
      </c>
      <c r="T20" s="5"/>
      <c r="U20" s="5" t="e">
        <f t="shared" si="5"/>
        <v>#DIV/0!</v>
      </c>
      <c r="V20" s="5" t="e">
        <f t="shared" si="6"/>
        <v>#DIV/0!</v>
      </c>
      <c r="W20" s="5" t="e">
        <f t="shared" si="7"/>
        <v>#DIV/0!</v>
      </c>
      <c r="X20" s="5" t="e">
        <f t="shared" si="8"/>
        <v>#DIV/0!</v>
      </c>
      <c r="Y20" s="10" t="e">
        <f t="shared" si="9"/>
        <v>#DIV/0!</v>
      </c>
      <c r="Z20" s="5"/>
      <c r="AA20" s="5">
        <f>IF($C33="","",$C33)</f>
        <v>110.75</v>
      </c>
      <c r="AB20" s="5">
        <f t="shared" si="10"/>
        <v>0</v>
      </c>
      <c r="AC20" s="5" t="e">
        <f t="shared" si="11"/>
        <v>#DIV/0!</v>
      </c>
      <c r="AD20" s="5" t="e">
        <f t="shared" si="12"/>
        <v>#DIV/0!</v>
      </c>
      <c r="AE20" s="10" t="e">
        <f t="shared" si="13"/>
        <v>#DIV/0!</v>
      </c>
    </row>
    <row r="21" spans="2:31" ht="15.75" thickBot="1" x14ac:dyDescent="0.3">
      <c r="B21">
        <v>17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e">
        <f t="shared" si="0"/>
        <v>#DIV/0!</v>
      </c>
      <c r="O21" s="4" t="e">
        <f t="shared" si="1"/>
        <v>#DIV/0!</v>
      </c>
      <c r="P21" s="4" t="e">
        <f t="shared" si="2"/>
        <v>#DIV/0!</v>
      </c>
      <c r="Q21" s="4"/>
      <c r="R21" s="4" t="e">
        <f t="shared" si="3"/>
        <v>#DIV/0!</v>
      </c>
      <c r="S21" s="4" t="e">
        <f t="shared" si="4"/>
        <v>#DIV/0!</v>
      </c>
      <c r="T21" s="4"/>
      <c r="U21" s="4" t="e">
        <f t="shared" si="5"/>
        <v>#DIV/0!</v>
      </c>
      <c r="V21" s="4" t="e">
        <f t="shared" si="6"/>
        <v>#DIV/0!</v>
      </c>
      <c r="W21" s="4" t="e">
        <f t="shared" si="7"/>
        <v>#DIV/0!</v>
      </c>
      <c r="X21" s="4" t="e">
        <f t="shared" si="8"/>
        <v>#DIV/0!</v>
      </c>
      <c r="Y21" s="9" t="e">
        <f t="shared" si="9"/>
        <v>#DIV/0!</v>
      </c>
      <c r="Z21" s="4"/>
      <c r="AA21" s="4">
        <f>IF($C33="","",$C33)</f>
        <v>110.75</v>
      </c>
      <c r="AB21" s="4">
        <f t="shared" si="10"/>
        <v>0</v>
      </c>
      <c r="AC21" s="4" t="e">
        <f t="shared" si="11"/>
        <v>#DIV/0!</v>
      </c>
      <c r="AD21" s="4" t="e">
        <f t="shared" si="12"/>
        <v>#DIV/0!</v>
      </c>
      <c r="AE21" s="9" t="e">
        <f t="shared" si="13"/>
        <v>#DIV/0!</v>
      </c>
    </row>
    <row r="22" spans="2:31" ht="15.75" thickBot="1" x14ac:dyDescent="0.3">
      <c r="B22">
        <v>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 t="e">
        <f t="shared" si="0"/>
        <v>#DIV/0!</v>
      </c>
      <c r="O22" s="5" t="e">
        <f t="shared" si="1"/>
        <v>#DIV/0!</v>
      </c>
      <c r="P22" s="5" t="e">
        <f t="shared" si="2"/>
        <v>#DIV/0!</v>
      </c>
      <c r="Q22" s="5"/>
      <c r="R22" s="5" t="e">
        <f t="shared" si="3"/>
        <v>#DIV/0!</v>
      </c>
      <c r="S22" s="5" t="e">
        <f t="shared" si="4"/>
        <v>#DIV/0!</v>
      </c>
      <c r="T22" s="5"/>
      <c r="U22" s="5" t="e">
        <f t="shared" si="5"/>
        <v>#DIV/0!</v>
      </c>
      <c r="V22" s="5" t="e">
        <f t="shared" si="6"/>
        <v>#DIV/0!</v>
      </c>
      <c r="W22" s="5" t="e">
        <f t="shared" si="7"/>
        <v>#DIV/0!</v>
      </c>
      <c r="X22" s="5" t="e">
        <f t="shared" si="8"/>
        <v>#DIV/0!</v>
      </c>
      <c r="Y22" s="10" t="e">
        <f t="shared" si="9"/>
        <v>#DIV/0!</v>
      </c>
      <c r="Z22" s="5"/>
      <c r="AA22" s="5">
        <f>IF($C33="","",$C33)</f>
        <v>110.75</v>
      </c>
      <c r="AB22" s="5">
        <f t="shared" si="10"/>
        <v>0</v>
      </c>
      <c r="AC22" s="5" t="e">
        <f t="shared" si="11"/>
        <v>#DIV/0!</v>
      </c>
      <c r="AD22" s="5" t="e">
        <f t="shared" si="12"/>
        <v>#DIV/0!</v>
      </c>
      <c r="AE22" s="10" t="e">
        <f t="shared" si="13"/>
        <v>#DIV/0!</v>
      </c>
    </row>
    <row r="23" spans="2:31" ht="15.75" thickBot="1" x14ac:dyDescent="0.3">
      <c r="B23">
        <v>19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e">
        <f t="shared" si="0"/>
        <v>#DIV/0!</v>
      </c>
      <c r="O23" s="4" t="e">
        <f t="shared" si="1"/>
        <v>#DIV/0!</v>
      </c>
      <c r="P23" s="4" t="e">
        <f t="shared" si="2"/>
        <v>#DIV/0!</v>
      </c>
      <c r="Q23" s="4"/>
      <c r="R23" s="4" t="e">
        <f t="shared" si="3"/>
        <v>#DIV/0!</v>
      </c>
      <c r="S23" s="4" t="e">
        <f t="shared" si="4"/>
        <v>#DIV/0!</v>
      </c>
      <c r="T23" s="4"/>
      <c r="U23" s="4" t="e">
        <f t="shared" si="5"/>
        <v>#DIV/0!</v>
      </c>
      <c r="V23" s="4" t="e">
        <f t="shared" si="6"/>
        <v>#DIV/0!</v>
      </c>
      <c r="W23" s="4" t="e">
        <f t="shared" si="7"/>
        <v>#DIV/0!</v>
      </c>
      <c r="X23" s="4" t="e">
        <f t="shared" si="8"/>
        <v>#DIV/0!</v>
      </c>
      <c r="Y23" s="9" t="e">
        <f t="shared" si="9"/>
        <v>#DIV/0!</v>
      </c>
      <c r="Z23" s="4"/>
      <c r="AA23" s="4">
        <f>IF($C33="","",$C33)</f>
        <v>110.75</v>
      </c>
      <c r="AB23" s="4">
        <f t="shared" si="10"/>
        <v>0</v>
      </c>
      <c r="AC23" s="4" t="e">
        <f t="shared" si="11"/>
        <v>#DIV/0!</v>
      </c>
      <c r="AD23" s="4" t="e">
        <f t="shared" si="12"/>
        <v>#DIV/0!</v>
      </c>
      <c r="AE23" s="9" t="e">
        <f t="shared" si="13"/>
        <v>#DIV/0!</v>
      </c>
    </row>
    <row r="24" spans="2:31" ht="15.75" thickBot="1" x14ac:dyDescent="0.3">
      <c r="B24">
        <v>20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 t="e">
        <f t="shared" si="0"/>
        <v>#DIV/0!</v>
      </c>
      <c r="O24" s="5" t="e">
        <f t="shared" si="1"/>
        <v>#DIV/0!</v>
      </c>
      <c r="P24" s="5" t="e">
        <f t="shared" si="2"/>
        <v>#DIV/0!</v>
      </c>
      <c r="Q24" s="5"/>
      <c r="R24" s="5" t="e">
        <f t="shared" si="3"/>
        <v>#DIV/0!</v>
      </c>
      <c r="S24" s="5" t="e">
        <f t="shared" si="4"/>
        <v>#DIV/0!</v>
      </c>
      <c r="T24" s="5"/>
      <c r="U24" s="5" t="e">
        <f t="shared" si="5"/>
        <v>#DIV/0!</v>
      </c>
      <c r="V24" s="5" t="e">
        <f t="shared" si="6"/>
        <v>#DIV/0!</v>
      </c>
      <c r="W24" s="5" t="e">
        <f t="shared" si="7"/>
        <v>#DIV/0!</v>
      </c>
      <c r="X24" s="5" t="e">
        <f t="shared" si="8"/>
        <v>#DIV/0!</v>
      </c>
      <c r="Y24" s="10" t="e">
        <f t="shared" si="9"/>
        <v>#DIV/0!</v>
      </c>
      <c r="Z24" s="5"/>
      <c r="AA24" s="5">
        <f>IF($C33="","",$C33)</f>
        <v>110.75</v>
      </c>
      <c r="AB24" s="5">
        <f t="shared" si="10"/>
        <v>0</v>
      </c>
      <c r="AC24" s="5" t="e">
        <f t="shared" si="11"/>
        <v>#DIV/0!</v>
      </c>
      <c r="AD24" s="5" t="e">
        <f t="shared" si="12"/>
        <v>#DIV/0!</v>
      </c>
      <c r="AE24" s="10" t="e">
        <f t="shared" si="13"/>
        <v>#DIV/0!</v>
      </c>
    </row>
    <row r="25" spans="2:31" ht="15.75" thickBot="1" x14ac:dyDescent="0.3">
      <c r="B25">
        <v>21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e">
        <f t="shared" si="0"/>
        <v>#DIV/0!</v>
      </c>
      <c r="O25" s="4" t="e">
        <f t="shared" si="1"/>
        <v>#DIV/0!</v>
      </c>
      <c r="P25" s="4" t="e">
        <f t="shared" si="2"/>
        <v>#DIV/0!</v>
      </c>
      <c r="Q25" s="4"/>
      <c r="R25" s="4" t="e">
        <f t="shared" si="3"/>
        <v>#DIV/0!</v>
      </c>
      <c r="S25" s="4" t="e">
        <f t="shared" si="4"/>
        <v>#DIV/0!</v>
      </c>
      <c r="T25" s="4"/>
      <c r="U25" s="4" t="e">
        <f t="shared" si="5"/>
        <v>#DIV/0!</v>
      </c>
      <c r="V25" s="4" t="e">
        <f t="shared" si="6"/>
        <v>#DIV/0!</v>
      </c>
      <c r="W25" s="4" t="e">
        <f t="shared" si="7"/>
        <v>#DIV/0!</v>
      </c>
      <c r="X25" s="4" t="e">
        <f t="shared" si="8"/>
        <v>#DIV/0!</v>
      </c>
      <c r="Y25" s="9" t="e">
        <f t="shared" si="9"/>
        <v>#DIV/0!</v>
      </c>
      <c r="Z25" s="4"/>
      <c r="AA25" s="4">
        <f>IF($C33="","",$C33)</f>
        <v>110.75</v>
      </c>
      <c r="AB25" s="4">
        <f t="shared" si="10"/>
        <v>0</v>
      </c>
      <c r="AC25" s="4" t="e">
        <f t="shared" si="11"/>
        <v>#DIV/0!</v>
      </c>
      <c r="AD25" s="4" t="e">
        <f t="shared" si="12"/>
        <v>#DIV/0!</v>
      </c>
      <c r="AE25" s="9" t="e">
        <f t="shared" si="13"/>
        <v>#DIV/0!</v>
      </c>
    </row>
    <row r="26" spans="2:31" ht="15.75" thickBot="1" x14ac:dyDescent="0.3">
      <c r="B26">
        <v>22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 t="e">
        <f t="shared" si="0"/>
        <v>#DIV/0!</v>
      </c>
      <c r="O26" s="5" t="e">
        <f t="shared" si="1"/>
        <v>#DIV/0!</v>
      </c>
      <c r="P26" s="5" t="e">
        <f t="shared" si="2"/>
        <v>#DIV/0!</v>
      </c>
      <c r="Q26" s="5"/>
      <c r="R26" s="5" t="e">
        <f t="shared" si="3"/>
        <v>#DIV/0!</v>
      </c>
      <c r="S26" s="5" t="e">
        <f t="shared" si="4"/>
        <v>#DIV/0!</v>
      </c>
      <c r="T26" s="5"/>
      <c r="U26" s="5" t="e">
        <f t="shared" si="5"/>
        <v>#DIV/0!</v>
      </c>
      <c r="V26" s="5" t="e">
        <f t="shared" si="6"/>
        <v>#DIV/0!</v>
      </c>
      <c r="W26" s="5" t="e">
        <f t="shared" si="7"/>
        <v>#DIV/0!</v>
      </c>
      <c r="X26" s="5" t="e">
        <f t="shared" si="8"/>
        <v>#DIV/0!</v>
      </c>
      <c r="Y26" s="10" t="e">
        <f t="shared" si="9"/>
        <v>#DIV/0!</v>
      </c>
      <c r="Z26" s="5"/>
      <c r="AA26" s="5">
        <f>IF($C33="","",$C33)</f>
        <v>110.75</v>
      </c>
      <c r="AB26" s="5">
        <f t="shared" si="10"/>
        <v>0</v>
      </c>
      <c r="AC26" s="5" t="e">
        <f t="shared" si="11"/>
        <v>#DIV/0!</v>
      </c>
      <c r="AD26" s="5" t="e">
        <f t="shared" si="12"/>
        <v>#DIV/0!</v>
      </c>
      <c r="AE26" s="10" t="e">
        <f t="shared" si="13"/>
        <v>#DIV/0!</v>
      </c>
    </row>
    <row r="27" spans="2:31" ht="15.75" thickBot="1" x14ac:dyDescent="0.3">
      <c r="B27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e">
        <f t="shared" si="0"/>
        <v>#DIV/0!</v>
      </c>
      <c r="O27" s="4" t="e">
        <f t="shared" si="1"/>
        <v>#DIV/0!</v>
      </c>
      <c r="P27" s="4" t="e">
        <f t="shared" si="2"/>
        <v>#DIV/0!</v>
      </c>
      <c r="Q27" s="4"/>
      <c r="R27" s="4" t="e">
        <f t="shared" si="3"/>
        <v>#DIV/0!</v>
      </c>
      <c r="S27" s="4" t="e">
        <f t="shared" si="4"/>
        <v>#DIV/0!</v>
      </c>
      <c r="T27" s="4"/>
      <c r="U27" s="4" t="e">
        <f t="shared" si="5"/>
        <v>#DIV/0!</v>
      </c>
      <c r="V27" s="4" t="e">
        <f t="shared" si="6"/>
        <v>#DIV/0!</v>
      </c>
      <c r="W27" s="4" t="e">
        <f t="shared" si="7"/>
        <v>#DIV/0!</v>
      </c>
      <c r="X27" s="4" t="e">
        <f t="shared" si="8"/>
        <v>#DIV/0!</v>
      </c>
      <c r="Y27" s="9" t="e">
        <f t="shared" si="9"/>
        <v>#DIV/0!</v>
      </c>
      <c r="Z27" s="4"/>
      <c r="AA27" s="4">
        <f>IF($C33="","",$C33)</f>
        <v>110.75</v>
      </c>
      <c r="AB27" s="4">
        <f t="shared" si="10"/>
        <v>0</v>
      </c>
      <c r="AC27" s="4" t="e">
        <f t="shared" si="11"/>
        <v>#DIV/0!</v>
      </c>
      <c r="AD27" s="4" t="e">
        <f t="shared" si="12"/>
        <v>#DIV/0!</v>
      </c>
      <c r="AE27" s="9" t="e">
        <f t="shared" si="13"/>
        <v>#DIV/0!</v>
      </c>
    </row>
    <row r="28" spans="2:31" ht="15.75" thickBot="1" x14ac:dyDescent="0.3">
      <c r="B28">
        <v>24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 t="e">
        <f t="shared" si="0"/>
        <v>#DIV/0!</v>
      </c>
      <c r="O28" s="5" t="e">
        <f t="shared" si="1"/>
        <v>#DIV/0!</v>
      </c>
      <c r="P28" s="5" t="e">
        <f t="shared" si="2"/>
        <v>#DIV/0!</v>
      </c>
      <c r="Q28" s="5"/>
      <c r="R28" s="5" t="e">
        <f t="shared" si="3"/>
        <v>#DIV/0!</v>
      </c>
      <c r="S28" s="5" t="e">
        <f t="shared" si="4"/>
        <v>#DIV/0!</v>
      </c>
      <c r="T28" s="5"/>
      <c r="U28" s="5" t="e">
        <f t="shared" si="5"/>
        <v>#DIV/0!</v>
      </c>
      <c r="V28" s="5" t="e">
        <f t="shared" si="6"/>
        <v>#DIV/0!</v>
      </c>
      <c r="W28" s="5" t="e">
        <f t="shared" si="7"/>
        <v>#DIV/0!</v>
      </c>
      <c r="X28" s="5" t="e">
        <f t="shared" si="8"/>
        <v>#DIV/0!</v>
      </c>
      <c r="Y28" s="10" t="e">
        <f t="shared" si="9"/>
        <v>#DIV/0!</v>
      </c>
      <c r="Z28" s="5"/>
      <c r="AA28" s="5">
        <f>IF($C33="","",$C33)</f>
        <v>110.75</v>
      </c>
      <c r="AB28" s="5">
        <f t="shared" si="10"/>
        <v>0</v>
      </c>
      <c r="AC28" s="5" t="e">
        <f t="shared" si="11"/>
        <v>#DIV/0!</v>
      </c>
      <c r="AD28" s="5" t="e">
        <f t="shared" si="12"/>
        <v>#DIV/0!</v>
      </c>
      <c r="AE28" s="10" t="e">
        <f t="shared" si="13"/>
        <v>#DIV/0!</v>
      </c>
    </row>
    <row r="29" spans="2:31" ht="15.75" thickBot="1" x14ac:dyDescent="0.3">
      <c r="B29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e">
        <f t="shared" si="0"/>
        <v>#DIV/0!</v>
      </c>
      <c r="O29" s="4" t="e">
        <f t="shared" si="1"/>
        <v>#DIV/0!</v>
      </c>
      <c r="P29" s="4" t="e">
        <f t="shared" si="2"/>
        <v>#DIV/0!</v>
      </c>
      <c r="Q29" s="4"/>
      <c r="R29" s="4" t="e">
        <f t="shared" si="3"/>
        <v>#DIV/0!</v>
      </c>
      <c r="S29" s="4" t="e">
        <f t="shared" si="4"/>
        <v>#DIV/0!</v>
      </c>
      <c r="T29" s="4"/>
      <c r="U29" s="4" t="e">
        <f t="shared" si="5"/>
        <v>#DIV/0!</v>
      </c>
      <c r="V29" s="4" t="e">
        <f t="shared" si="6"/>
        <v>#DIV/0!</v>
      </c>
      <c r="W29" s="4" t="e">
        <f t="shared" si="7"/>
        <v>#DIV/0!</v>
      </c>
      <c r="X29" s="4" t="e">
        <f t="shared" si="8"/>
        <v>#DIV/0!</v>
      </c>
      <c r="Y29" s="9" t="e">
        <f t="shared" si="9"/>
        <v>#DIV/0!</v>
      </c>
      <c r="Z29" s="4"/>
      <c r="AA29" s="4">
        <f>IF($C33="","",$C33)</f>
        <v>110.75</v>
      </c>
      <c r="AB29" s="4">
        <f t="shared" si="10"/>
        <v>0</v>
      </c>
      <c r="AC29" s="4" t="e">
        <f t="shared" si="11"/>
        <v>#DIV/0!</v>
      </c>
      <c r="AD29" s="4" t="e">
        <f t="shared" si="12"/>
        <v>#DIV/0!</v>
      </c>
      <c r="AE29" s="9" t="e">
        <f t="shared" si="13"/>
        <v>#DIV/0!</v>
      </c>
    </row>
    <row r="30" spans="2:31" ht="21" customHeight="1" thickBot="1" x14ac:dyDescent="0.3"/>
    <row r="31" spans="2:31" ht="23.25" customHeight="1" thickTop="1" thickBot="1" x14ac:dyDescent="0.3">
      <c r="B31" s="3" t="s">
        <v>26</v>
      </c>
      <c r="E31" s="12" t="s">
        <v>28</v>
      </c>
      <c r="F31" s="11"/>
    </row>
    <row r="32" spans="2:31" ht="23.25" customHeight="1" x14ac:dyDescent="0.25">
      <c r="C32" s="2" t="s">
        <v>27</v>
      </c>
      <c r="G32" s="2" t="s">
        <v>29</v>
      </c>
      <c r="H32" s="2" t="s">
        <v>30</v>
      </c>
      <c r="I32" s="2" t="s">
        <v>31</v>
      </c>
      <c r="J32" s="2" t="s">
        <v>32</v>
      </c>
    </row>
    <row r="33" spans="3:10" ht="15.75" thickBot="1" x14ac:dyDescent="0.3">
      <c r="C33" s="4">
        <v>110.75</v>
      </c>
      <c r="G33" s="4">
        <f>_xlfn.AGGREGATE(15,6,AE5:AE29,1)</f>
        <v>-7.6954862637362851</v>
      </c>
      <c r="H33" s="4">
        <f>_xlfn.AGGREGATE(15,6,Y5:Y29,1)</f>
        <v>-1.3057209523809519</v>
      </c>
      <c r="I33" s="4">
        <f>G33-H33</f>
        <v>-6.3897653113553332</v>
      </c>
      <c r="J33" s="4" t="str">
        <f>IF(I33&gt;0,"Rich",IF(I33&lt;0,"Cheap","Fair"))</f>
        <v>Cheap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82B043-59AE-4502-9011-C1E11C8DE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6F9B8-231C-43AC-8581-7797907C3C11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aa22a689-7505-4716-b802-371d38c763eb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30215E4-F248-40B5-A60E-BF7E871E0D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2026-06-04T01:57:59Z</dcterms:created>
  <dcterms:modified xsi:type="dcterms:W3CDTF">2026-06-04T16:51:36Z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